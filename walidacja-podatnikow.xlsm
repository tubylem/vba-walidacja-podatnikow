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git\vba-walidacja-podatnikow\"/>
    </mc:Choice>
  </mc:AlternateContent>
  <xr:revisionPtr revIDLastSave="0" documentId="13_ncr:1_{36F2E332-1B3B-45B5-8D6B-762BF198FD72}" xr6:coauthVersionLast="41" xr6:coauthVersionMax="41" xr10:uidLastSave="{00000000-0000-0000-0000-000000000000}"/>
  <bookViews>
    <workbookView xWindow="5610" yWindow="1950" windowWidth="21600" windowHeight="12735" xr2:uid="{64B5DB33-4DF3-4B44-910D-86719653BEDC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7" i="1"/>
  <c r="D7" i="1"/>
  <c r="H5" i="1"/>
  <c r="G4" i="1"/>
  <c r="G6" i="1"/>
  <c r="F6" i="1"/>
  <c r="E4" i="1"/>
  <c r="D6" i="1"/>
  <c r="C2" i="1"/>
  <c r="C4" i="1"/>
  <c r="B4" i="1"/>
  <c r="F7" i="1"/>
  <c r="E7" i="1"/>
  <c r="H3" i="1"/>
  <c r="G5" i="1"/>
  <c r="F2" i="1"/>
  <c r="F4" i="1"/>
  <c r="E2" i="1"/>
  <c r="D4" i="1"/>
  <c r="C5" i="1"/>
  <c r="B6" i="1"/>
  <c r="C7" i="1"/>
  <c r="H7" i="1"/>
  <c r="H2" i="1"/>
  <c r="G3" i="1"/>
  <c r="F5" i="1"/>
  <c r="E3" i="1"/>
  <c r="E5" i="1"/>
  <c r="D2" i="1"/>
  <c r="C3" i="1"/>
  <c r="B5" i="1"/>
  <c r="G7" i="1"/>
  <c r="H4" i="1"/>
  <c r="H6" i="1"/>
  <c r="G2" i="1"/>
  <c r="F3" i="1"/>
  <c r="E6" i="1"/>
  <c r="D3" i="1"/>
  <c r="D5" i="1"/>
  <c r="C6" i="1"/>
  <c r="B3" i="1"/>
</calcChain>
</file>

<file path=xl/sharedStrings.xml><?xml version="1.0" encoding="utf-8"?>
<sst xmlns="http://schemas.openxmlformats.org/spreadsheetml/2006/main" count="13" uniqueCount="13">
  <si>
    <t>5250007741</t>
  </si>
  <si>
    <t>1</t>
  </si>
  <si>
    <t>5250007738</t>
  </si>
  <si>
    <t>NIP</t>
  </si>
  <si>
    <t>Nazwa</t>
  </si>
  <si>
    <t>Data rejestracji</t>
  </si>
  <si>
    <t>1126633206</t>
  </si>
  <si>
    <t>Status</t>
  </si>
  <si>
    <t>Regon</t>
  </si>
  <si>
    <t>Pesel</t>
  </si>
  <si>
    <t>Krs</t>
  </si>
  <si>
    <t>Konta Bankowe</t>
  </si>
  <si>
    <t>PL 525 000 77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</si>
</sst>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3.5"/>
      <color rgb="FF37474F"/>
      <name val="Roboto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0" fillId="0" borderId="0" xfId="0" applyNumberFormat="1"/>
  </cellXfs>
  <cellStyles count="1">
    <cellStyle name="Normalny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18A581-7FB5-477E-9507-27623E4CC156}" name="Tabela1" displayName="Tabela1" ref="A1:H7" totalsRowShown="0">
  <autoFilter ref="A1:H7" xr:uid="{65ACEFBC-D1DE-40F4-9339-06239EFC1D8B}"/>
  <tableColumns count="8">
    <tableColumn id="1" xr3:uid="{1B506842-F6AD-455E-8F63-E5B8BE300335}" name="NIP" dataDxfId="7"/>
    <tableColumn id="2" xr3:uid="{FB82819D-6D25-4E69-950E-D1A32D723591}" name="Status" dataDxfId="6">
      <calculatedColumnFormula>PodmiotStatus(Tabela1[[#This Row],[NIP]])</calculatedColumnFormula>
    </tableColumn>
    <tableColumn id="3" xr3:uid="{3709B21B-6A70-49E3-A66D-2DAAA280C15E}" name="Nazwa" dataDxfId="5">
      <calculatedColumnFormula>PodmiotNazwa(Tabela1[[#This Row],[NIP]])</calculatedColumnFormula>
    </tableColumn>
    <tableColumn id="4" xr3:uid="{84E9B0AA-31FF-4F89-90AD-918BA85779F4}" name="Regon" dataDxfId="4">
      <calculatedColumnFormula>PodmiotRegon(Tabela1[[#This Row],[NIP]])</calculatedColumnFormula>
    </tableColumn>
    <tableColumn id="5" xr3:uid="{781F44C0-58BA-4304-8CA5-63B8F766D165}" name="Pesel" dataDxfId="3">
      <calculatedColumnFormula>PodmiotPesel(Tabela1[[#This Row],[NIP]])</calculatedColumnFormula>
    </tableColumn>
    <tableColumn id="6" xr3:uid="{5F963F55-7482-41A3-8DA6-26081BDF51B3}" name="Krs" dataDxfId="2">
      <calculatedColumnFormula>PodmiotKRS(Tabela1[[#This Row],[NIP]])</calculatedColumnFormula>
    </tableColumn>
    <tableColumn id="7" xr3:uid="{D478B854-4EEE-44B8-B4E4-6DE8C5CAF4C5}" name="Data rejestracji" dataDxfId="1">
      <calculatedColumnFormula>PodmiotDataRejestracji(Tabela1[[#This Row],[NIP]])</calculatedColumnFormula>
    </tableColumn>
    <tableColumn id="8" xr3:uid="{3283FBC4-D78A-41A9-BA1E-5E44854DAE75}" name="Konta Bankowe" dataDxfId="0">
      <calculatedColumnFormula>PodmiotKontaBankowe(Tabela1[[#This Row],[NIP]])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F921-605A-4ED8-B404-02BBE26A5B7A}">
  <sheetPr codeName="Arkusz1"/>
  <dimension ref="A1:H19"/>
  <sheetViews>
    <sheetView tabSelected="1" workbookViewId="0">
      <selection activeCell="B3" sqref="B3"/>
    </sheetView>
  </sheetViews>
  <sheetFormatPr defaultRowHeight="14.4" x14ac:dyDescent="0.3"/>
  <cols>
    <col min="1" max="1" width="14.77734375" style="1" bestFit="1" customWidth="1"/>
    <col min="2" max="2" width="74" bestFit="1" customWidth="1"/>
    <col min="3" max="7" width="62.88671875" bestFit="1" customWidth="1"/>
    <col min="8" max="8" width="64.6640625" customWidth="1"/>
  </cols>
  <sheetData>
    <row r="1" spans="1:8" x14ac:dyDescent="0.3">
      <c r="A1" s="1" t="s">
        <v>3</v>
      </c>
      <c r="B1" t="s">
        <v>7</v>
      </c>
      <c r="C1" t="s">
        <v>4</v>
      </c>
      <c r="D1" t="s">
        <v>8</v>
      </c>
      <c r="E1" t="s">
        <v>9</v>
      </c>
      <c r="F1" t="s">
        <v>10</v>
      </c>
      <c r="G1" t="s">
        <v>5</v>
      </c>
      <c r="H1" t="s">
        <v>11</v>
      </c>
    </row>
    <row r="2" spans="1:8" x14ac:dyDescent="0.3">
      <c r="B2" t="str">
        <f>PodmiotStatus(Tabela1[[#This Row],[NIP]])</f>
        <v>BŁĄD: Pole 'NIP' nie może być puste. [13.12.2019]</v>
      </c>
      <c r="C2" t="str">
        <f>PodmiotNazwa(Tabela1[[#This Row],[NIP]])</f>
        <v>BŁĄD: Pole 'NIP' nie może być puste.</v>
      </c>
      <c r="D2" t="str">
        <f>PodmiotRegon(Tabela1[[#This Row],[NIP]])</f>
        <v>BŁĄD: Pole 'NIP' nie może być puste.</v>
      </c>
      <c r="E2" t="str">
        <f>PodmiotPesel(Tabela1[[#This Row],[NIP]])</f>
        <v>BŁĄD: Pole 'NIP' nie może być puste.</v>
      </c>
      <c r="F2" t="str">
        <f>PodmiotKRS(Tabela1[[#This Row],[NIP]])</f>
        <v>BŁĄD: Pole 'NIP' nie może być puste.</v>
      </c>
      <c r="G2" t="str">
        <f>PodmiotDataRejestracji(Tabela1[[#This Row],[NIP]])</f>
        <v>BŁĄD: Pole 'NIP' nie może być puste.</v>
      </c>
      <c r="H2" t="str">
        <f>PodmiotKontaBankowe(Tabela1[[#This Row],[NIP]])</f>
        <v>BŁĄD: Pole 'NIP' nie może być puste.</v>
      </c>
    </row>
    <row r="3" spans="1:8" x14ac:dyDescent="0.3">
      <c r="A3" s="1" t="s">
        <v>1</v>
      </c>
      <c r="B3" t="str">
        <f>PodmiotStatus(Tabela1[[#This Row],[NIP]])</f>
        <v>BŁĄD: Pole 'NIP' ma nieprawidłową długość. Wymagane 10 znaków (1). [13.12.2019]</v>
      </c>
      <c r="C3" t="str">
        <f>PodmiotNazwa(Tabela1[[#This Row],[NIP]])</f>
        <v>BŁĄD: Pole 'NIP' ma nieprawidłową długość. Wymagane 10 znaków (1).</v>
      </c>
      <c r="D3" t="str">
        <f>PodmiotRegon(Tabela1[[#This Row],[NIP]])</f>
        <v>BŁĄD: Pole 'NIP' ma nieprawidłową długość. Wymagane 10 znaków (1).</v>
      </c>
      <c r="E3" t="str">
        <f>PodmiotPesel(Tabela1[[#This Row],[NIP]])</f>
        <v>BŁĄD: Pole 'NIP' ma nieprawidłową długość. Wymagane 10 znaków (1).</v>
      </c>
      <c r="F3" t="str">
        <f>PodmiotKRS(Tabela1[[#This Row],[NIP]])</f>
        <v>BŁĄD: Pole 'NIP' ma nieprawidłową długość. Wymagane 10 znaków (1).</v>
      </c>
      <c r="G3" t="str">
        <f>PodmiotDataRejestracji(Tabela1[[#This Row],[NIP]])</f>
        <v>BŁĄD: Pole 'NIP' ma nieprawidłową długość. Wymagane 10 znaków (1).</v>
      </c>
      <c r="H3" t="str">
        <f>PodmiotKontaBankowe(Tabela1[[#This Row],[NIP]])</f>
        <v>BŁĄD: Pole 'NIP' ma nieprawidłową długość. Wymagane 10 znaków (1).</v>
      </c>
    </row>
    <row r="4" spans="1:8" x14ac:dyDescent="0.3">
      <c r="A4" s="1" t="s">
        <v>2</v>
      </c>
      <c r="B4" t="str">
        <f>PodmiotStatus(Tabela1[[#This Row],[NIP]])</f>
        <v>Czynny [13.12.2019]</v>
      </c>
      <c r="C4" t="str">
        <f>PodmiotNazwa(Tabela1[[#This Row],[NIP]])</f>
        <v>POWSZECHNA KASA OSZCZĘDNOŚCI BANK POLSKI SPÓŁKA AKCYJNA</v>
      </c>
      <c r="D4" t="str">
        <f>PodmiotRegon(Tabela1[[#This Row],[NIP]])</f>
        <v>016298263</v>
      </c>
      <c r="E4" t="str">
        <f>PodmiotPesel(Tabela1[[#This Row],[NIP]])</f>
        <v>Brak danych</v>
      </c>
      <c r="F4" t="str">
        <f>PodmiotKRS(Tabela1[[#This Row],[NIP]])</f>
        <v>0000026438</v>
      </c>
      <c r="G4" t="str">
        <f>PodmiotDataRejestracji(Tabela1[[#This Row],[NIP]])</f>
        <v>2003-12-31</v>
      </c>
      <c r="H4" t="str">
        <f>PodmiotKontaBankowe(Tabela1[[#This Row],[NIP]])</f>
        <v>31101000391440000310011000,_x000D_66101000391020000310011000,_x000D_20101000391440000340010000,_x000D_17101000391440000310000000,_x000D_72101000391020000310101102,_x000D_50101000391440000320010000,_x000D_52101000391020000310000000,_x000D_98101000391440000320020000,_x000D_49101000391440000320030000,_x000D_13102040270000190203464401,_x000D_33105010251000000501160956,_x000D_45105000861000009030370952,_x000D_40105000861000009030370945,_x000D_32105000861000009030370895,_x000D_62105000861000009030370937,_x000D_23105000861000009030370960</v>
      </c>
    </row>
    <row r="5" spans="1:8" x14ac:dyDescent="0.3">
      <c r="A5" s="1" t="s">
        <v>0</v>
      </c>
      <c r="B5" t="str">
        <f>PodmiotStatus(Tabela1[[#This Row],[NIP]])</f>
        <v>BŁĄD: Nieprawidłowy NIP (5250007741). [13.12.2019]</v>
      </c>
      <c r="C5" t="str">
        <f>PodmiotNazwa(Tabela1[[#This Row],[NIP]])</f>
        <v>BŁĄD: Nieprawidłowy NIP (5250007741).</v>
      </c>
      <c r="D5" t="str">
        <f>PodmiotRegon(Tabela1[[#This Row],[NIP]])</f>
        <v>BŁĄD: Nieprawidłowy NIP (5250007741).</v>
      </c>
      <c r="E5" t="str">
        <f>PodmiotPesel(Tabela1[[#This Row],[NIP]])</f>
        <v>BŁĄD: Nieprawidłowy NIP (5250007741).</v>
      </c>
      <c r="F5" t="str">
        <f>PodmiotKRS(Tabela1[[#This Row],[NIP]])</f>
        <v>BŁĄD: Nieprawidłowy NIP (5250007741).</v>
      </c>
      <c r="G5" t="str">
        <f>PodmiotDataRejestracji(Tabela1[[#This Row],[NIP]])</f>
        <v>BŁĄD: Nieprawidłowy NIP (5250007741).</v>
      </c>
      <c r="H5" t="str">
        <f>PodmiotKontaBankowe(Tabela1[[#This Row],[NIP]])</f>
        <v>BŁĄD: Nieprawidłowy NIP (5250007741).</v>
      </c>
    </row>
    <row r="6" spans="1:8" x14ac:dyDescent="0.3">
      <c r="A6" s="1" t="s">
        <v>6</v>
      </c>
      <c r="B6" t="str">
        <f>PodmiotStatus(Tabela1[[#This Row],[NIP]])</f>
        <v>BŁĄD: Podatnik nie istnieje [13.12.2019]</v>
      </c>
      <c r="C6" t="str">
        <f>PodmiotNazwa(Tabela1[[#This Row],[NIP]])</f>
        <v>BŁĄD: Podatnik nie istnieje</v>
      </c>
      <c r="D6" t="str">
        <f>PodmiotRegon(Tabela1[[#This Row],[NIP]])</f>
        <v>BŁĄD: Podatnik nie istnieje</v>
      </c>
      <c r="E6" t="str">
        <f>PodmiotPesel(Tabela1[[#This Row],[NIP]])</f>
        <v>BŁĄD: Podatnik nie istnieje</v>
      </c>
      <c r="F6" t="str">
        <f>PodmiotKRS(Tabela1[[#This Row],[NIP]])</f>
        <v>BŁĄD: Podatnik nie istnieje</v>
      </c>
      <c r="G6" t="str">
        <f>PodmiotDataRejestracji(Tabela1[[#This Row],[NIP]])</f>
        <v>BŁĄD: Podatnik nie istnieje</v>
      </c>
      <c r="H6" t="str">
        <f>PodmiotKontaBankowe(Tabela1[[#This Row],[NIP]])</f>
        <v>BŁĄD: Podatnik nie istnieje</v>
      </c>
    </row>
    <row r="7" spans="1:8" x14ac:dyDescent="0.3">
      <c r="A7" s="1" t="s">
        <v>12</v>
      </c>
      <c r="B7" s="4" t="str">
        <f>PodmiotStatus(Tabela1[[#This Row],[NIP]])</f>
        <v>Czynny [13.12.2019]</v>
      </c>
      <c r="C7" s="4" t="str">
        <f>PodmiotNazwa(Tabela1[[#This Row],[NIP]])</f>
        <v>POWSZECHNA KASA OSZCZĘDNOŚCI BANK POLSKI SPÓŁKA AKCYJNA</v>
      </c>
      <c r="D7" s="4" t="str">
        <f>PodmiotRegon(Tabela1[[#This Row],[NIP]])</f>
        <v>016298263</v>
      </c>
      <c r="E7" s="4" t="str">
        <f>PodmiotPesel(Tabela1[[#This Row],[NIP]])</f>
        <v>Brak danych</v>
      </c>
      <c r="F7" s="4" t="str">
        <f>PodmiotKRS(Tabela1[[#This Row],[NIP]])</f>
        <v>0000026438</v>
      </c>
      <c r="G7" s="4" t="str">
        <f>PodmiotDataRejestracji(Tabela1[[#This Row],[NIP]])</f>
        <v>2003-12-31</v>
      </c>
      <c r="H7" s="4" t="str">
        <f>PodmiotKontaBankowe(Tabela1[[#This Row],[NIP]])</f>
        <v>31101000391440000310011000,_x000D_66101000391020000310011000,_x000D_20101000391440000340010000,_x000D_17101000391440000310000000,_x000D_72101000391020000310101102,_x000D_50101000391440000320010000,_x000D_52101000391020000310000000,_x000D_98101000391440000320020000,_x000D_49101000391440000320030000,_x000D_13102040270000190203464401,_x000D_33105010251000000501160956,_x000D_45105000861000009030370952,_x000D_40105000861000009030370945,_x000D_32105000861000009030370895,_x000D_62105000861000009030370937,_x000D_23105000861000009030370960</v>
      </c>
    </row>
    <row r="8" spans="1:8" ht="19.2" x14ac:dyDescent="0.3">
      <c r="B8" s="3"/>
      <c r="C8" s="1"/>
    </row>
    <row r="19" spans="2:2" x14ac:dyDescent="0.3">
      <c r="B19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Soszynski</dc:creator>
  <cp:lastModifiedBy>Robert Soszynski</cp:lastModifiedBy>
  <dcterms:created xsi:type="dcterms:W3CDTF">2019-12-12T15:03:06Z</dcterms:created>
  <dcterms:modified xsi:type="dcterms:W3CDTF">2019-12-13T12:39:30Z</dcterms:modified>
</cp:coreProperties>
</file>